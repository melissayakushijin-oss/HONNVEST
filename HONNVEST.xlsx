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uglas\Documents\"/>
    </mc:Choice>
  </mc:AlternateContent>
  <bookViews>
    <workbookView xWindow="0" yWindow="0" windowWidth="20490" windowHeight="7755" tabRatio="250"/>
  </bookViews>
  <sheets>
    <sheet name="Ferramenta" sheetId="3" r:id="rId1"/>
    <sheet name="Plan1" sheetId="4" r:id="rId2"/>
  </sheets>
  <definedNames>
    <definedName name="aporte">Ferramenta!$D$19</definedName>
    <definedName name="dividendos">Ferramenta!$D$23</definedName>
    <definedName name="patrimonio">Ferramenta!$D$22</definedName>
    <definedName name="qtd_anos">Ferramenta!$D$20</definedName>
    <definedName name="rendimento_carteira">Ferramenta!$D$14</definedName>
    <definedName name="salario">Ferramenta!$D$13</definedName>
    <definedName name="sugestao_invest">Ferramenta!$D$15</definedName>
    <definedName name="taxa_mensal">Ferramenta!$D$21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3" l="1"/>
  <c r="D32" i="3" s="1"/>
  <c r="C41" i="3" l="1"/>
  <c r="C42" i="3"/>
  <c r="C43" i="3"/>
  <c r="C44" i="3"/>
  <c r="C45" i="3"/>
  <c r="C40" i="3"/>
  <c r="A14" i="4"/>
  <c r="A15" i="4"/>
  <c r="A16" i="4"/>
  <c r="A17" i="4"/>
  <c r="A18" i="4"/>
  <c r="A19" i="4"/>
  <c r="A9" i="4"/>
  <c r="A10" i="4"/>
  <c r="A11" i="4"/>
  <c r="A12" i="4"/>
  <c r="A13" i="4"/>
  <c r="A8" i="4"/>
  <c r="A3" i="4"/>
  <c r="A4" i="4"/>
  <c r="A5" i="4"/>
  <c r="A6" i="4"/>
  <c r="A7" i="4"/>
  <c r="A2" i="4"/>
  <c r="C36" i="3"/>
  <c r="D43" i="3" l="1"/>
  <c r="D42" i="3"/>
  <c r="D41" i="3"/>
  <c r="D40" i="3"/>
  <c r="D45" i="3"/>
  <c r="D44" i="3"/>
  <c r="D22" i="3"/>
  <c r="D23" i="3" s="1"/>
  <c r="D15" i="3"/>
  <c r="C28" i="3"/>
  <c r="D28" i="3" s="1"/>
  <c r="C29" i="3"/>
  <c r="D29" i="3" s="1"/>
  <c r="C30" i="3"/>
  <c r="D30" i="3" s="1"/>
  <c r="C31" i="3"/>
  <c r="D31" i="3" s="1"/>
  <c r="C27" i="3"/>
  <c r="D27" i="3" s="1"/>
  <c r="D46" i="3" l="1"/>
</calcChain>
</file>

<file path=xl/sharedStrings.xml><?xml version="1.0" encoding="utf-8"?>
<sst xmlns="http://schemas.openxmlformats.org/spreadsheetml/2006/main" count="70" uniqueCount="34">
  <si>
    <t>INVESTIMENTO MENSAL</t>
  </si>
  <si>
    <t>Quanto investir por mês?</t>
  </si>
  <si>
    <t>Por quantos anos?</t>
  </si>
  <si>
    <t>Qual a taxa de rendimento mensal?</t>
  </si>
  <si>
    <t>Dividendos Mensais:</t>
  </si>
  <si>
    <t>Patrimônio acumulado: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</si>
  <si>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</si>
  <si>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</si>
  <si>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</si>
  <si>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</si>
  <si>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</si>
  <si>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</si>
  <si>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</si>
  <si>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CONFIGURAÇÕES</t>
  </si>
  <si>
    <t>CENÁRIOS</t>
  </si>
  <si>
    <t>DIVIDENDOS</t>
  </si>
  <si>
    <t>PERFIL</t>
  </si>
  <si>
    <t>Moderado</t>
  </si>
  <si>
    <t>Conservador</t>
  </si>
  <si>
    <t>Agressivo</t>
  </si>
  <si>
    <t>VALOR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</si>
  <si>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</si>
  <si>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</si>
  <si>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</si>
  <si>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</si>
  <si>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</si>
  <si>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</si>
  <si>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</si>
  <si>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</si>
  <si>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</si>
  <si>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</si>
  <si>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</si>
  <si>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</si>
  <si>
    <t>Quanto em 50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</si>
</sst>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3282C"/>
      <name val="Segoe UI"/>
      <family val="2"/>
    </font>
    <font>
      <b/>
      <sz val="12"/>
      <color rgb="FF23282C"/>
      <name val="Segoe UI"/>
      <family val="2"/>
    </font>
    <font>
      <sz val="12"/>
      <color theme="1"/>
      <name val="Arial"/>
      <family val="2"/>
    </font>
    <font>
      <b/>
      <sz val="18"/>
      <color theme="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Arial"/>
      <family val="2"/>
    </font>
    <font>
      <b/>
      <sz val="12"/>
      <color theme="0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0D659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186C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/>
      <right/>
      <top style="medium">
        <color indexed="64"/>
      </top>
      <bottom style="dotted">
        <color auto="1"/>
      </bottom>
      <diagonal/>
    </border>
    <border>
      <left/>
      <right style="medium">
        <color indexed="64"/>
      </right>
      <top style="medium">
        <color indexed="64"/>
      </top>
      <bottom style="dotted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10" fillId="0" borderId="14" xfId="0" applyNumberFormat="1" applyFont="1" applyBorder="1" applyAlignment="1">
      <alignment horizontal="center"/>
    </xf>
    <xf numFmtId="10" fontId="10" fillId="0" borderId="14" xfId="0" applyNumberFormat="1" applyFont="1" applyBorder="1" applyAlignment="1">
      <alignment horizontal="center"/>
    </xf>
    <xf numFmtId="164" fontId="10" fillId="0" borderId="14" xfId="1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8" fontId="10" fillId="5" borderId="14" xfId="0" applyNumberFormat="1" applyFont="1" applyFill="1" applyBorder="1" applyAlignment="1">
      <alignment horizontal="center"/>
    </xf>
    <xf numFmtId="8" fontId="10" fillId="5" borderId="17" xfId="0" applyNumberFormat="1" applyFont="1" applyFill="1" applyBorder="1" applyAlignment="1">
      <alignment horizontal="center"/>
    </xf>
    <xf numFmtId="9" fontId="0" fillId="0" borderId="0" xfId="0" applyNumberFormat="1"/>
    <xf numFmtId="0" fontId="11" fillId="4" borderId="1" xfId="0" applyFont="1" applyFill="1" applyBorder="1" applyAlignment="1">
      <alignment horizontal="left" vertical="center" indent="3"/>
    </xf>
    <xf numFmtId="0" fontId="12" fillId="5" borderId="2" xfId="0" applyFont="1" applyFill="1" applyBorder="1" applyAlignment="1">
      <alignment horizontal="left" vertical="center" indent="3"/>
    </xf>
    <xf numFmtId="0" fontId="0" fillId="0" borderId="0" xfId="0" applyAlignment="1">
      <alignment horizontal="left" indent="3"/>
    </xf>
    <xf numFmtId="0" fontId="0" fillId="0" borderId="23" xfId="0" applyBorder="1"/>
    <xf numFmtId="0" fontId="0" fillId="0" borderId="23" xfId="0" applyBorder="1" applyAlignment="1">
      <alignment horizontal="left" indent="3"/>
    </xf>
    <xf numFmtId="9" fontId="0" fillId="0" borderId="23" xfId="0" applyNumberFormat="1" applyBorder="1"/>
    <xf numFmtId="9" fontId="0" fillId="0" borderId="0" xfId="0" applyNumberFormat="1" applyFill="1" applyBorder="1"/>
    <xf numFmtId="9" fontId="0" fillId="0" borderId="23" xfId="0" applyNumberFormat="1" applyFill="1" applyBorder="1"/>
    <xf numFmtId="0" fontId="0" fillId="3" borderId="0" xfId="0" applyFill="1"/>
    <xf numFmtId="164" fontId="10" fillId="3" borderId="17" xfId="0" applyNumberFormat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5" fillId="4" borderId="9" xfId="0" applyFont="1" applyFill="1" applyBorder="1"/>
    <xf numFmtId="0" fontId="2" fillId="4" borderId="10" xfId="0" applyFont="1" applyFill="1" applyBorder="1"/>
    <xf numFmtId="164" fontId="4" fillId="4" borderId="11" xfId="0" applyNumberFormat="1" applyFont="1" applyFill="1" applyBorder="1" applyAlignment="1">
      <alignment horizontal="center"/>
    </xf>
    <xf numFmtId="0" fontId="14" fillId="5" borderId="6" xfId="0" applyFont="1" applyFill="1" applyBorder="1" applyAlignment="1">
      <alignment horizontal="left" indent="3"/>
    </xf>
    <xf numFmtId="9" fontId="0" fillId="5" borderId="7" xfId="0" applyNumberForma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164" fontId="10" fillId="5" borderId="8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 indent="3"/>
    </xf>
    <xf numFmtId="8" fontId="7" fillId="5" borderId="7" xfId="0" applyNumberFormat="1" applyFont="1" applyFill="1" applyBorder="1" applyAlignment="1">
      <alignment horizontal="center"/>
    </xf>
    <xf numFmtId="8" fontId="10" fillId="5" borderId="8" xfId="0" applyNumberFormat="1" applyFont="1" applyFill="1" applyBorder="1" applyAlignment="1">
      <alignment horizontal="center"/>
    </xf>
    <xf numFmtId="0" fontId="9" fillId="5" borderId="9" xfId="0" applyFont="1" applyFill="1" applyBorder="1" applyAlignment="1">
      <alignment horizontal="left" vertical="center" indent="3"/>
    </xf>
    <xf numFmtId="8" fontId="7" fillId="5" borderId="10" xfId="0" applyNumberFormat="1" applyFont="1" applyFill="1" applyBorder="1" applyAlignment="1">
      <alignment horizontal="center"/>
    </xf>
    <xf numFmtId="8" fontId="10" fillId="5" borderId="11" xfId="0" applyNumberFormat="1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 wrapText="1" indent="3"/>
    </xf>
    <xf numFmtId="0" fontId="5" fillId="5" borderId="13" xfId="0" applyFont="1" applyFill="1" applyBorder="1" applyAlignment="1">
      <alignment horizontal="left" vertical="center" wrapText="1" indent="3"/>
    </xf>
    <xf numFmtId="0" fontId="6" fillId="5" borderId="12" xfId="0" applyFont="1" applyFill="1" applyBorder="1" applyAlignment="1">
      <alignment horizontal="left" vertical="center" wrapText="1" indent="3"/>
    </xf>
    <xf numFmtId="0" fontId="6" fillId="5" borderId="13" xfId="0" applyFont="1" applyFill="1" applyBorder="1" applyAlignment="1">
      <alignment horizontal="left" vertical="center" wrapText="1" indent="3"/>
    </xf>
    <xf numFmtId="0" fontId="6" fillId="5" borderId="15" xfId="0" applyFont="1" applyFill="1" applyBorder="1" applyAlignment="1">
      <alignment horizontal="left" vertical="center" wrapText="1" indent="3"/>
    </xf>
    <xf numFmtId="0" fontId="6" fillId="5" borderId="16" xfId="0" applyFont="1" applyFill="1" applyBorder="1" applyAlignment="1">
      <alignment horizontal="left" vertical="center" wrapText="1" indent="3"/>
    </xf>
    <xf numFmtId="0" fontId="4" fillId="6" borderId="2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164" fontId="10" fillId="5" borderId="23" xfId="2" applyNumberFormat="1" applyFont="1" applyFill="1" applyBorder="1" applyAlignment="1">
      <alignment horizontal="center"/>
    </xf>
    <xf numFmtId="164" fontId="10" fillId="5" borderId="24" xfId="2" applyNumberFormat="1" applyFont="1" applyFill="1" applyBorder="1" applyAlignment="1">
      <alignment horizontal="center"/>
    </xf>
    <xf numFmtId="0" fontId="9" fillId="5" borderId="12" xfId="0" applyFont="1" applyFill="1" applyBorder="1" applyAlignment="1">
      <alignment horizontal="left" vertical="center" indent="3"/>
    </xf>
    <xf numFmtId="0" fontId="9" fillId="5" borderId="13" xfId="0" applyFont="1" applyFill="1" applyBorder="1" applyAlignment="1">
      <alignment horizontal="left" vertical="center" indent="3"/>
    </xf>
    <xf numFmtId="0" fontId="9" fillId="5" borderId="15" xfId="0" applyFont="1" applyFill="1" applyBorder="1" applyAlignment="1">
      <alignment horizontal="left" vertical="center" indent="3"/>
    </xf>
    <xf numFmtId="0" fontId="9" fillId="5" borderId="16" xfId="0" applyFont="1" applyFill="1" applyBorder="1" applyAlignment="1">
      <alignment horizontal="left" vertical="center" indent="3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1186C1"/>
      <color rgb="FF21A8EB"/>
      <color rgb="FF0D6591"/>
      <color rgb="FFE4E4E4"/>
      <color rgb="FFE97E09"/>
      <color rgb="FFB25E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Ferramenta!$C$39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Ferramenta!$B$40:$B$45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Ferramenta!$C$40:$C$45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PATRIMÔNIO</a:t>
            </a:r>
            <a:r>
              <a:rPr lang="pt-BR" baseline="0"/>
              <a:t> ACUMULADO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Ferramenta!$B$27:$B$32</c:f>
              <c:strCache>
                <c:ptCount val="6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  <c:pt idx="5">
                  <c:v>Quanto em 50 anos?</c:v>
                </c:pt>
              </c:strCache>
            </c:strRef>
          </c:cat>
          <c:val>
            <c:numRef>
              <c:f>Ferramenta!$D$27:$D$32</c:f>
              <c:numCache>
                <c:formatCode>"R$"#,##0.00_);[Red]\("R$"#,##0.00\)</c:formatCode>
                <c:ptCount val="6"/>
                <c:pt idx="0">
                  <c:v>122.52432283940347</c:v>
                </c:pt>
                <c:pt idx="1">
                  <c:v>376.99611299319434</c:v>
                </c:pt>
                <c:pt idx="2">
                  <c:v>1094.7789563857748</c:v>
                </c:pt>
                <c:pt idx="3">
                  <c:v>5063.3928004368618</c:v>
                </c:pt>
                <c:pt idx="4">
                  <c:v>19449.763447521214</c:v>
                </c:pt>
                <c:pt idx="5">
                  <c:v>260650.6091257334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8708176"/>
        <c:axId val="-28710896"/>
      </c:lineChart>
      <c:catAx>
        <c:axId val="-2870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8710896"/>
        <c:crosses val="autoZero"/>
        <c:auto val="1"/>
        <c:lblAlgn val="ctr"/>
        <c:lblOffset val="100"/>
        <c:noMultiLvlLbl val="0"/>
      </c:catAx>
      <c:valAx>
        <c:axId val="-287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870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3</xdr:col>
      <xdr:colOff>2811993</xdr:colOff>
      <xdr:row>9</xdr:row>
      <xdr:rowOff>74082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880" b="8351"/>
        <a:stretch/>
      </xdr:blipFill>
      <xdr:spPr>
        <a:xfrm>
          <a:off x="613833" y="0"/>
          <a:ext cx="8212668" cy="1788582"/>
        </a:xfrm>
        <a:prstGeom prst="rect">
          <a:avLst/>
        </a:prstGeom>
      </xdr:spPr>
    </xdr:pic>
    <xdr:clientData/>
  </xdr:twoCellAnchor>
  <xdr:twoCellAnchor>
    <xdr:from>
      <xdr:col>0</xdr:col>
      <xdr:colOff>603250</xdr:colOff>
      <xdr:row>47</xdr:row>
      <xdr:rowOff>20107</xdr:rowOff>
    </xdr:from>
    <xdr:to>
      <xdr:col>2</xdr:col>
      <xdr:colOff>762000</xdr:colOff>
      <xdr:row>67</xdr:row>
      <xdr:rowOff>74083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846666</xdr:colOff>
      <xdr:row>48</xdr:row>
      <xdr:rowOff>83608</xdr:rowOff>
    </xdr:from>
    <xdr:to>
      <xdr:col>4</xdr:col>
      <xdr:colOff>31750</xdr:colOff>
      <xdr:row>61</xdr:row>
      <xdr:rowOff>52916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H46"/>
  <sheetViews>
    <sheetView showGridLines="0" tabSelected="1" topLeftCell="A30" zoomScale="90" zoomScaleNormal="90" workbookViewId="0">
      <selection activeCell="C31" sqref="C31"/>
    </sheetView>
  </sheetViews>
  <sheetFormatPr defaultColWidth="0" defaultRowHeight="15" x14ac:dyDescent="0.25"/>
  <cols>
    <col min="1" max="1" width="9.140625" customWidth="1"/>
    <col min="2" max="2" width="36.5703125" bestFit="1" customWidth="1"/>
    <col min="3" max="3" width="33.42578125" customWidth="1"/>
    <col min="4" max="4" width="42.140625" customWidth="1"/>
    <col min="5" max="5" width="3.5703125" customWidth="1"/>
    <col min="6" max="6" width="3.42578125" customWidth="1"/>
    <col min="7" max="8" width="2.140625" customWidth="1"/>
    <col min="9" max="11" width="9.140625" hidden="1" customWidth="1"/>
    <col min="12" max="16384" width="9.140625" hidden="1"/>
  </cols>
  <sheetData>
    <row r="11" spans="2:4" ht="15.75" thickBot="1" x14ac:dyDescent="0.3"/>
    <row r="12" spans="2:4" ht="28.5" x14ac:dyDescent="0.25">
      <c r="B12" s="36" t="s">
        <v>13</v>
      </c>
      <c r="C12" s="37"/>
      <c r="D12" s="38"/>
    </row>
    <row r="13" spans="2:4" ht="17.25" x14ac:dyDescent="0.25">
      <c r="B13" s="51" t="s">
        <v>12</v>
      </c>
      <c r="C13" s="52"/>
      <c r="D13" s="3">
        <v>5000</v>
      </c>
    </row>
    <row r="14" spans="2:4" ht="17.25" x14ac:dyDescent="0.25">
      <c r="B14" s="51" t="s">
        <v>11</v>
      </c>
      <c r="C14" s="52"/>
      <c r="D14" s="4">
        <v>8.9999999999999993E-3</v>
      </c>
    </row>
    <row r="15" spans="2:4" ht="18" thickBot="1" x14ac:dyDescent="0.3">
      <c r="B15" s="53" t="s">
        <v>32</v>
      </c>
      <c r="C15" s="54"/>
      <c r="D15" s="19">
        <f>D13*30%</f>
        <v>1500</v>
      </c>
    </row>
    <row r="17" spans="1:4" ht="15.75" thickBot="1" x14ac:dyDescent="0.3"/>
    <row r="18" spans="1:4" ht="51.75" customHeight="1" x14ac:dyDescent="0.25">
      <c r="B18" s="55" t="s">
        <v>0</v>
      </c>
      <c r="C18" s="56"/>
      <c r="D18" s="57"/>
    </row>
    <row r="19" spans="1:4" ht="17.25" x14ac:dyDescent="0.25">
      <c r="B19" s="41" t="s">
        <v>1</v>
      </c>
      <c r="C19" s="42"/>
      <c r="D19" s="5">
        <v>500</v>
      </c>
    </row>
    <row r="20" spans="1:4" ht="17.25" x14ac:dyDescent="0.25">
      <c r="B20" s="41" t="s">
        <v>2</v>
      </c>
      <c r="C20" s="42"/>
      <c r="D20" s="6">
        <v>10</v>
      </c>
    </row>
    <row r="21" spans="1:4" ht="17.25" x14ac:dyDescent="0.25">
      <c r="B21" s="41" t="s">
        <v>3</v>
      </c>
      <c r="C21" s="42"/>
      <c r="D21" s="4">
        <v>1.0789999999999999E-2</v>
      </c>
    </row>
    <row r="22" spans="1:4" ht="17.25" x14ac:dyDescent="0.25">
      <c r="B22" s="43" t="s">
        <v>5</v>
      </c>
      <c r="C22" s="44"/>
      <c r="D22" s="7">
        <f>FV(taxa_mensal,qtd_anos*12,aporte*-1)</f>
        <v>121642.1062650861</v>
      </c>
    </row>
    <row r="23" spans="1:4" ht="18" thickBot="1" x14ac:dyDescent="0.3">
      <c r="B23" s="45" t="s">
        <v>4</v>
      </c>
      <c r="C23" s="46"/>
      <c r="D23" s="8">
        <f>patrimonio*rendimento_carteira</f>
        <v>1094.7789563857748</v>
      </c>
    </row>
    <row r="25" spans="1:4" ht="15.75" thickBot="1" x14ac:dyDescent="0.3"/>
    <row r="26" spans="1:4" ht="28.5" x14ac:dyDescent="0.25">
      <c r="B26" s="39" t="s">
        <v>14</v>
      </c>
      <c r="C26" s="40"/>
      <c r="D26" s="29" t="s">
        <v>15</v>
      </c>
    </row>
    <row r="27" spans="1:4" ht="17.25" x14ac:dyDescent="0.25">
      <c r="A27" s="1">
        <v>2</v>
      </c>
      <c r="B27" s="30" t="s">
        <v>6</v>
      </c>
      <c r="C27" s="31">
        <f t="shared" ref="C27:C32" si="0">FV($D$21,$A27*12,$D$19*-1)</f>
        <v>13613.813648822608</v>
      </c>
      <c r="D27" s="32">
        <f t="shared" ref="D27:D32" si="1">C27*rendimento_carteira</f>
        <v>122.52432283940347</v>
      </c>
    </row>
    <row r="28" spans="1:4" ht="17.25" x14ac:dyDescent="0.25">
      <c r="A28" s="1">
        <v>5</v>
      </c>
      <c r="B28" s="30" t="s">
        <v>7</v>
      </c>
      <c r="C28" s="31">
        <f t="shared" si="0"/>
        <v>41888.456999243819</v>
      </c>
      <c r="D28" s="32">
        <f t="shared" si="1"/>
        <v>376.99611299319434</v>
      </c>
    </row>
    <row r="29" spans="1:4" ht="17.25" x14ac:dyDescent="0.25">
      <c r="A29" s="1">
        <v>10</v>
      </c>
      <c r="B29" s="30" t="s">
        <v>8</v>
      </c>
      <c r="C29" s="31">
        <f t="shared" si="0"/>
        <v>121642.1062650861</v>
      </c>
      <c r="D29" s="32">
        <f t="shared" si="1"/>
        <v>1094.7789563857748</v>
      </c>
    </row>
    <row r="30" spans="1:4" ht="17.25" x14ac:dyDescent="0.25">
      <c r="A30" s="1">
        <v>20</v>
      </c>
      <c r="B30" s="30" t="s">
        <v>9</v>
      </c>
      <c r="C30" s="31">
        <f t="shared" si="0"/>
        <v>562599.20004854025</v>
      </c>
      <c r="D30" s="32">
        <f t="shared" si="1"/>
        <v>5063.3928004368618</v>
      </c>
    </row>
    <row r="31" spans="1:4" ht="17.25" x14ac:dyDescent="0.25">
      <c r="A31" s="1">
        <v>30</v>
      </c>
      <c r="B31" s="30" t="s">
        <v>10</v>
      </c>
      <c r="C31" s="31">
        <f t="shared" si="0"/>
        <v>2161084.8275023573</v>
      </c>
      <c r="D31" s="32">
        <f t="shared" si="1"/>
        <v>19449.763447521214</v>
      </c>
    </row>
    <row r="32" spans="1:4" ht="18" thickBot="1" x14ac:dyDescent="0.3">
      <c r="A32" s="1">
        <v>50</v>
      </c>
      <c r="B32" s="33" t="s">
        <v>33</v>
      </c>
      <c r="C32" s="34">
        <f t="shared" si="0"/>
        <v>28961178.791748159</v>
      </c>
      <c r="D32" s="35">
        <f t="shared" si="1"/>
        <v>260650.6091257334</v>
      </c>
    </row>
    <row r="34" spans="2:4" ht="15.75" thickBot="1" x14ac:dyDescent="0.3"/>
    <row r="35" spans="2:4" ht="17.25" x14ac:dyDescent="0.25">
      <c r="B35" s="10" t="s">
        <v>16</v>
      </c>
      <c r="C35" s="47" t="s">
        <v>17</v>
      </c>
      <c r="D35" s="48"/>
    </row>
    <row r="36" spans="2:4" ht="18" thickBot="1" x14ac:dyDescent="0.3">
      <c r="B36" s="11" t="s">
        <v>20</v>
      </c>
      <c r="C36" s="49">
        <f>aporte</f>
        <v>500</v>
      </c>
      <c r="D36" s="50"/>
    </row>
    <row r="38" spans="2:4" ht="15.75" thickBot="1" x14ac:dyDescent="0.3"/>
    <row r="39" spans="2:4" ht="16.5" x14ac:dyDescent="0.3">
      <c r="B39" s="20" t="s">
        <v>21</v>
      </c>
      <c r="C39" s="26" t="s">
        <v>22</v>
      </c>
      <c r="D39" s="27" t="s">
        <v>23</v>
      </c>
    </row>
    <row r="40" spans="2:4" ht="16.5" x14ac:dyDescent="0.3">
      <c r="B40" s="24" t="s">
        <v>24</v>
      </c>
      <c r="C40" s="25">
        <f>VLOOKUP($C$35&amp;"-"&amp;B40,Plan1!$A:$D,4,FALSE)</f>
        <v>0.32</v>
      </c>
      <c r="D40" s="28">
        <f>C40*C$36</f>
        <v>160</v>
      </c>
    </row>
    <row r="41" spans="2:4" ht="16.5" x14ac:dyDescent="0.3">
      <c r="B41" s="24" t="s">
        <v>25</v>
      </c>
      <c r="C41" s="25">
        <f>VLOOKUP($C$35&amp;"-"&amp;B41,Plan1!$A:$D,4,FALSE)</f>
        <v>0.35</v>
      </c>
      <c r="D41" s="28">
        <f t="shared" ref="D41:D45" si="2">C41*C$36</f>
        <v>175</v>
      </c>
    </row>
    <row r="42" spans="2:4" ht="16.5" x14ac:dyDescent="0.3">
      <c r="B42" s="24" t="s">
        <v>26</v>
      </c>
      <c r="C42" s="25">
        <f>VLOOKUP($C$35&amp;"-"&amp;B42,Plan1!$A:$D,4,FALSE)</f>
        <v>0.08</v>
      </c>
      <c r="D42" s="28">
        <f t="shared" si="2"/>
        <v>40</v>
      </c>
    </row>
    <row r="43" spans="2:4" ht="16.5" x14ac:dyDescent="0.3">
      <c r="B43" s="24" t="s">
        <v>27</v>
      </c>
      <c r="C43" s="25">
        <f>VLOOKUP($C$35&amp;"-"&amp;B43,Plan1!$A:$D,4,FALSE)</f>
        <v>0.1</v>
      </c>
      <c r="D43" s="28">
        <f t="shared" si="2"/>
        <v>50</v>
      </c>
    </row>
    <row r="44" spans="2:4" ht="16.5" x14ac:dyDescent="0.3">
      <c r="B44" s="24" t="s">
        <v>28</v>
      </c>
      <c r="C44" s="25">
        <f>VLOOKUP($C$35&amp;"-"&amp;B44,Plan1!$A:$D,4,FALSE)</f>
        <v>0.1</v>
      </c>
      <c r="D44" s="28">
        <f t="shared" si="2"/>
        <v>50</v>
      </c>
    </row>
    <row r="45" spans="2:4" ht="16.5" x14ac:dyDescent="0.3">
      <c r="B45" s="24" t="s">
        <v>29</v>
      </c>
      <c r="C45" s="25">
        <f>VLOOKUP($C$35&amp;"-"&amp;B45,Plan1!$A:$D,4,FALSE)</f>
        <v>0.05</v>
      </c>
      <c r="D45" s="28">
        <f t="shared" si="2"/>
        <v>25</v>
      </c>
    </row>
    <row r="46" spans="2:4" ht="17.25" thickBot="1" x14ac:dyDescent="0.35">
      <c r="B46" s="21"/>
      <c r="C46" s="22"/>
      <c r="D46" s="23">
        <f>SUM(D40:D45)</f>
        <v>500</v>
      </c>
    </row>
  </sheetData>
  <mergeCells count="13">
    <mergeCell ref="C35:D35"/>
    <mergeCell ref="C36:D36"/>
    <mergeCell ref="B13:C13"/>
    <mergeCell ref="B14:C14"/>
    <mergeCell ref="B15:C15"/>
    <mergeCell ref="B18:D18"/>
    <mergeCell ref="B12:D12"/>
    <mergeCell ref="B26:C26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C35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G11" sqref="G11"/>
    </sheetView>
  </sheetViews>
  <sheetFormatPr defaultRowHeight="15" x14ac:dyDescent="0.25"/>
  <cols>
    <col min="1" max="1" width="18.5703125" bestFit="1" customWidth="1"/>
    <col min="2" max="2" width="12.140625" bestFit="1" customWidth="1"/>
    <col min="3" max="3" width="23" bestFit="1" customWidth="1"/>
  </cols>
  <sheetData>
    <row r="1" spans="1:9" x14ac:dyDescent="0.25">
      <c r="A1" t="s">
        <v>31</v>
      </c>
      <c r="B1" s="2" t="s">
        <v>16</v>
      </c>
      <c r="C1" s="2" t="s">
        <v>21</v>
      </c>
      <c r="D1" s="2" t="s">
        <v>30</v>
      </c>
    </row>
    <row r="2" spans="1:9" x14ac:dyDescent="0.25">
      <c r="A2" t="str">
        <f>B2&amp;"-"&amp;C2</f>
        <v>Conservador-PAPEL</v>
      </c>
      <c r="B2" t="s">
        <v>18</v>
      </c>
      <c r="C2" s="12" t="s">
        <v>24</v>
      </c>
      <c r="D2" s="9">
        <v>0.35</v>
      </c>
    </row>
    <row r="3" spans="1:9" x14ac:dyDescent="0.25">
      <c r="A3" t="str">
        <f t="shared" ref="A3:A19" si="0">B3&amp;"-"&amp;C3</f>
        <v>Conservador-TIJOLO</v>
      </c>
      <c r="B3" t="s">
        <v>18</v>
      </c>
      <c r="C3" s="12" t="s">
        <v>25</v>
      </c>
      <c r="D3" s="9">
        <v>0.45</v>
      </c>
      <c r="H3" s="18"/>
      <c r="I3" s="18"/>
    </row>
    <row r="4" spans="1:9" x14ac:dyDescent="0.25">
      <c r="A4" t="str">
        <f t="shared" si="0"/>
        <v>Conservador-HÍBRIDOS</v>
      </c>
      <c r="B4" t="s">
        <v>18</v>
      </c>
      <c r="C4" s="12" t="s">
        <v>26</v>
      </c>
      <c r="D4" s="9">
        <v>0.1</v>
      </c>
    </row>
    <row r="5" spans="1:9" x14ac:dyDescent="0.25">
      <c r="A5" t="str">
        <f t="shared" si="0"/>
        <v>Conservador-FOFs</v>
      </c>
      <c r="B5" t="s">
        <v>18</v>
      </c>
      <c r="C5" s="12" t="s">
        <v>27</v>
      </c>
      <c r="D5" s="9">
        <v>0.1</v>
      </c>
    </row>
    <row r="6" spans="1:9" x14ac:dyDescent="0.25">
      <c r="A6" t="str">
        <f t="shared" si="0"/>
        <v>Conservador-DESENVOLVIMENTO</v>
      </c>
      <c r="B6" t="s">
        <v>18</v>
      </c>
      <c r="C6" s="12" t="s">
        <v>28</v>
      </c>
      <c r="D6" s="9">
        <v>0</v>
      </c>
    </row>
    <row r="7" spans="1:9" ht="15.75" thickBot="1" x14ac:dyDescent="0.3">
      <c r="A7" s="13" t="str">
        <f t="shared" si="0"/>
        <v>Conservador-HOTELARIAS</v>
      </c>
      <c r="B7" s="13" t="s">
        <v>18</v>
      </c>
      <c r="C7" s="14" t="s">
        <v>29</v>
      </c>
      <c r="D7" s="15">
        <v>0</v>
      </c>
    </row>
    <row r="8" spans="1:9" x14ac:dyDescent="0.25">
      <c r="A8" t="str">
        <f t="shared" si="0"/>
        <v>Moderado-PAPEL</v>
      </c>
      <c r="B8" t="s">
        <v>17</v>
      </c>
      <c r="C8" s="12" t="s">
        <v>24</v>
      </c>
      <c r="D8" s="16">
        <v>0.32</v>
      </c>
    </row>
    <row r="9" spans="1:9" x14ac:dyDescent="0.25">
      <c r="A9" t="str">
        <f t="shared" si="0"/>
        <v>Moderado-TIJOLO</v>
      </c>
      <c r="B9" t="s">
        <v>17</v>
      </c>
      <c r="C9" s="12" t="s">
        <v>25</v>
      </c>
      <c r="D9" s="16">
        <v>0.35</v>
      </c>
    </row>
    <row r="10" spans="1:9" x14ac:dyDescent="0.25">
      <c r="A10" t="str">
        <f t="shared" si="0"/>
        <v>Moderado-HÍBRIDOS</v>
      </c>
      <c r="B10" t="s">
        <v>17</v>
      </c>
      <c r="C10" s="12" t="s">
        <v>26</v>
      </c>
      <c r="D10" s="16">
        <v>0.08</v>
      </c>
    </row>
    <row r="11" spans="1:9" x14ac:dyDescent="0.25">
      <c r="A11" t="str">
        <f t="shared" si="0"/>
        <v>Moderado-FOFs</v>
      </c>
      <c r="B11" t="s">
        <v>17</v>
      </c>
      <c r="C11" s="12" t="s">
        <v>27</v>
      </c>
      <c r="D11" s="16">
        <v>0.1</v>
      </c>
    </row>
    <row r="12" spans="1:9" x14ac:dyDescent="0.25">
      <c r="A12" t="str">
        <f t="shared" si="0"/>
        <v>Moderado-DESENVOLVIMENTO</v>
      </c>
      <c r="B12" t="s">
        <v>17</v>
      </c>
      <c r="C12" s="12" t="s">
        <v>28</v>
      </c>
      <c r="D12" s="16">
        <v>0.1</v>
      </c>
    </row>
    <row r="13" spans="1:9" ht="15.75" thickBot="1" x14ac:dyDescent="0.3">
      <c r="A13" s="13" t="str">
        <f t="shared" si="0"/>
        <v>Moderado-HOTELARIAS</v>
      </c>
      <c r="B13" s="13" t="s">
        <v>17</v>
      </c>
      <c r="C13" s="14" t="s">
        <v>29</v>
      </c>
      <c r="D13" s="17">
        <v>0.05</v>
      </c>
    </row>
    <row r="14" spans="1:9" x14ac:dyDescent="0.25">
      <c r="A14" t="str">
        <f t="shared" si="0"/>
        <v>Agressivo-PAPEL</v>
      </c>
      <c r="B14" t="s">
        <v>19</v>
      </c>
      <c r="C14" s="12" t="s">
        <v>24</v>
      </c>
      <c r="D14" s="9">
        <v>0.5</v>
      </c>
    </row>
    <row r="15" spans="1:9" x14ac:dyDescent="0.25">
      <c r="A15" t="str">
        <f t="shared" si="0"/>
        <v>Agressivo-TIJOLO</v>
      </c>
      <c r="B15" t="s">
        <v>19</v>
      </c>
      <c r="C15" s="12" t="s">
        <v>25</v>
      </c>
      <c r="D15" s="16">
        <v>0.15</v>
      </c>
    </row>
    <row r="16" spans="1:9" x14ac:dyDescent="0.25">
      <c r="A16" t="str">
        <f t="shared" si="0"/>
        <v>Agressivo-HÍBRIDOS</v>
      </c>
      <c r="B16" t="s">
        <v>19</v>
      </c>
      <c r="C16" s="12" t="s">
        <v>26</v>
      </c>
      <c r="D16" s="16">
        <v>0.05</v>
      </c>
    </row>
    <row r="17" spans="1:4" x14ac:dyDescent="0.25">
      <c r="A17" t="str">
        <f t="shared" si="0"/>
        <v>Agressivo-FOFs</v>
      </c>
      <c r="B17" t="s">
        <v>19</v>
      </c>
      <c r="C17" s="12" t="s">
        <v>27</v>
      </c>
      <c r="D17" s="16">
        <v>0.05</v>
      </c>
    </row>
    <row r="18" spans="1:4" x14ac:dyDescent="0.25">
      <c r="A18" t="str">
        <f t="shared" si="0"/>
        <v>Agressivo-DESENVOLVIMENTO</v>
      </c>
      <c r="B18" t="s">
        <v>19</v>
      </c>
      <c r="C18" s="12" t="s">
        <v>28</v>
      </c>
      <c r="D18" s="16">
        <v>0.15</v>
      </c>
    </row>
    <row r="19" spans="1:4" x14ac:dyDescent="0.25">
      <c r="A19" t="str">
        <f t="shared" si="0"/>
        <v>Agressivo-HOTELARIAS</v>
      </c>
      <c r="B19" t="s">
        <v>19</v>
      </c>
      <c r="C19" s="12" t="s">
        <v>29</v>
      </c>
      <c r="D19" s="1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Ferramenta</vt:lpstr>
      <vt:lpstr>Plan1</vt:lpstr>
      <vt:lpstr>aporte</vt:lpstr>
      <vt:lpstr>dividendos</vt:lpstr>
      <vt:lpstr>patrimonio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2026-10-03T23:18:20Z</dcterms:created>
  <dcterms:modified xsi:type="dcterms:W3CDTF">2026-10-04T17:29:12Z</dcterms:modified>
</cp:coreProperties>
</file>